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F02.CFG-Paths" sheetId="2" r:id="rId5"/>
    <sheet state="visible" name="F02.TCs" sheetId="3" r:id="rId6"/>
    <sheet state="visible" name="WBT-TCs" sheetId="4" r:id="rId7"/>
  </sheets>
  <definedNames/>
  <calcPr/>
  <extLst>
    <ext uri="GoogleSheetsCustomDataVersion2">
      <go:sheetsCustomData xmlns:go="http://customooxmlschemas.google.com/" r:id="rId8" roundtripDataChecksum="rZaZjMFGcnj0BxMDwuZ0s4N9F3qZFEtcP4LWoGOVr6w="/>
    </ext>
  </extLst>
</workbook>
</file>

<file path=xl/sharedStrings.xml><?xml version="1.0" encoding="utf-8"?>
<sst xmlns="http://schemas.openxmlformats.org/spreadsheetml/2006/main" count="215" uniqueCount="141">
  <si>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</si>
  <si>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</si>
  <si>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</si>
  <si>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</si>
  <si>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</si>
  <si>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</si>
  <si>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</si>
  <si>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</si>
  <si>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</si>
  <si>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</si>
  <si>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Farcas Andrei-Catalin</t>
  </si>
  <si>
    <t>Student 2:</t>
  </si>
  <si>
    <t>Cuciurean Emilian-Petrut</t>
  </si>
  <si>
    <t xml:space="preserve">1. Gestionarea unui magazin de bauturi
</t>
  </si>
  <si>
    <t>Student 3:</t>
  </si>
  <si>
    <t xml:space="preserve">Un client doreste sa dezvolte o aplicatie de gestionare a unui magazin de bauturi. Aplicatia va permite următoarele operaţii:
</t>
  </si>
  <si>
    <r>
      <rPr>
        <rFont val="Calibri"/>
        <b/>
        <color rgb="FF000000"/>
        <sz val="11.0"/>
      </rPr>
      <t>F02.</t>
    </r>
    <r>
      <rPr>
        <rFont val="Calibri"/>
        <color rgb="FF000000"/>
        <sz val="11.0"/>
      </rPr>
      <t xml:space="preserve"> Filtrarea produselor dupa categorie;</t>
    </r>
  </si>
  <si>
    <r>
      <rPr>
        <rFont val="Calibri"/>
        <b/>
        <color rgb="FF000000"/>
        <sz val="11.0"/>
      </rPr>
      <t xml:space="preserve">F02. </t>
    </r>
    <r>
      <rPr>
        <rFont val="Calibri"/>
        <color rgb="FF000000"/>
        <sz val="11.0"/>
      </rPr>
      <t>Filtrarea produselor dupa categorie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</si>
  <si>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</si>
  <si>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</si>
  <si>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</si>
  <si>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</si>
  <si>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</si>
  <si>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</si>
  <si>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</si>
  <si>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</si>
  <si>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</si>
  <si>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</si>
  <si>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</si>
  <si>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</si>
  <si>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</si>
  <si>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Req02_L03</t>
  </si>
  <si>
    <t>...</t>
  </si>
  <si>
    <t>..</t>
  </si>
  <si>
    <t>F02. Individual Paths</t>
  </si>
  <si>
    <t>Path No.</t>
  </si>
  <si>
    <t>Path</t>
  </si>
  <si>
    <t>F02_P01</t>
  </si>
  <si>
    <t>1 -&gt; 2 -&gt; 3(T) -&gt; 4 -&gt; 11</t>
  </si>
  <si>
    <t>F02_P02</t>
  </si>
  <si>
    <t>1 -&gt; 2 -&gt; 3(F) -&gt; 5 -&gt; 6(F) -&gt; 10 -&gt; 11</t>
  </si>
  <si>
    <t>F02_P03</t>
  </si>
  <si>
    <t>1 -&gt; 2 -&gt; 3(F) -&gt; 5 -&gt; 6(T) -&gt; 7(F) -&gt; 6(F) -&gt; 10 -&gt; 11</t>
  </si>
  <si>
    <t>F02_P04</t>
  </si>
  <si>
    <t>1 -&gt; 2 -&gt; 3(F) -&gt; 5 -&gt; 6(T) -&gt; 7(T) -&gt; 8(F) -&gt; 6(F) -&gt; 10 -&gt; 11</t>
  </si>
  <si>
    <t>F02_P05</t>
  </si>
  <si>
    <t>1 -&gt; 2 -&gt; 3(F) -&gt; 5 -&gt; 6(T) -&gt; 7(T) -&gt; 8(T) -&gt; 9 -&gt; 6(F) -&gt; 10 -&gt; 11</t>
  </si>
  <si>
    <r>
      <rPr>
        <rFont val="Calibri"/>
        <b/>
        <color rgb="FF000000"/>
        <sz val="11.0"/>
      </rPr>
      <t xml:space="preserve">F02. </t>
    </r>
    <r>
      <rPr>
        <rFont val="Calibri"/>
        <color rgb="FF000000"/>
        <sz val="11.0"/>
      </rPr>
      <t>F02. Filtrarea produselor dupa categorie</t>
    </r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</si>
  <si>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</si>
  <si>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</si>
  <si>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</si>
  <si>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</si>
  <si>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</si>
  <si>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</si>
  <si>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</si>
  <si>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</si>
  <si>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categorie, allProducts</t>
  </si>
  <si>
    <t>FilteredByCategoryList</t>
  </si>
  <si>
    <t xml:space="preserve">F02_Cond01
</t>
  </si>
  <si>
    <t xml:space="preserve">F02_Cond02 </t>
  </si>
  <si>
    <t>F02_Cond03</t>
  </si>
  <si>
    <t xml:space="preserve">F02_P02
</t>
  </si>
  <si>
    <t>n-1</t>
  </si>
  <si>
    <t>n</t>
  </si>
  <si>
    <t>n+1</t>
  </si>
  <si>
    <t>m&lt;n</t>
  </si>
  <si>
    <t>T</t>
  </si>
  <si>
    <t>F</t>
  </si>
  <si>
    <t>F02_TC01</t>
  </si>
  <si>
    <t>ALL, [Ceai Verde (TEA)]</t>
  </si>
  <si>
    <t>[Ceai Verde (TEA)]</t>
  </si>
  <si>
    <t>1, 2, 3, 4, 11</t>
  </si>
  <si>
    <t>x</t>
  </si>
  <si>
    <t>F02_TC02</t>
  </si>
  <si>
    <t>TEA, []</t>
  </si>
  <si>
    <t>[]</t>
  </si>
  <si>
    <t>1, 2, 3, 5, 6, 10, 11</t>
  </si>
  <si>
    <t>F02_TC03</t>
  </si>
  <si>
    <t>TEA, [null]</t>
  </si>
  <si>
    <t>1, 2, 3, 5, 6, 7, 6, 10, 11</t>
  </si>
  <si>
    <t>F02_TC04</t>
  </si>
  <si>
    <t>TEA, [Limonada (JUICE)]</t>
  </si>
  <si>
    <t>1, 2, 3, 5, 6, 7, 8, 6, 10, 11</t>
  </si>
  <si>
    <t>F02_TC05</t>
  </si>
  <si>
    <t>TEA, [Ceai Verde (TEA)]</t>
  </si>
  <si>
    <t>1, 2, 3, 5, 6, 7, 8, 9, 6, 10, 11</t>
  </si>
  <si>
    <t>F02_TC06</t>
  </si>
  <si>
    <t>TEA, [P1(JUICE), P2(TEA)]</t>
  </si>
  <si>
    <t>[P2(TEA)]</t>
  </si>
  <si>
    <t>1, 2, 3, 5, 6, 7, 8, 6, 7, 8, 9, 6, 10, 11</t>
  </si>
  <si>
    <t>F02_TC07</t>
  </si>
  <si>
    <t>TEA, [P1(TEA), null, P2(TEA)]</t>
  </si>
  <si>
    <t>[P1, P2]</t>
  </si>
  <si>
    <t>1, 2, 3, 5, 6, 7, 8, 9, 6, 7, 6, 7, 8, 9, 6, 10, 11</t>
  </si>
  <si>
    <t>F02_TC08</t>
  </si>
  <si>
    <t>null, [P1(TEA)]</t>
  </si>
  <si>
    <t>Exception</t>
  </si>
  <si>
    <t>F02_Cond1: categorie == ALL;</t>
  </si>
  <si>
    <t>F02_Cond2: p != null;</t>
  </si>
  <si>
    <t>F02_Cond3: p.getCategorie() == categorie;</t>
  </si>
  <si>
    <t>WBT Implemented TCs</t>
  </si>
  <si>
    <t>Final        TC No.</t>
  </si>
  <si>
    <t>Req. ID</t>
  </si>
  <si>
    <t>TC No</t>
  </si>
  <si>
    <t>input data</t>
  </si>
  <si>
    <t>output data</t>
  </si>
  <si>
    <t>stoc / lista</t>
  </si>
  <si>
    <t>categorie</t>
  </si>
  <si>
    <t>expected</t>
  </si>
  <si>
    <t>actual result</t>
  </si>
  <si>
    <t>F02</t>
  </si>
  <si>
    <t>[Product(1, "Latte", 10.0, MILK_COFFEE, DAIRY)]</t>
  </si>
  <si>
    <t>ALL</t>
  </si>
  <si>
    <t>Lista completă (1 produs)</t>
  </si>
  <si>
    <t>Passed</t>
  </si>
  <si>
    <t>[] (Listă goală)</t>
  </si>
  <si>
    <t>MILK_COFFEE</t>
  </si>
  <si>
    <t>Listă goală []</t>
  </si>
  <si>
    <t>[null]</t>
  </si>
  <si>
    <t>[Product(1, "Ceai", 10.0, TEA, WATER_BASED)]</t>
  </si>
  <si>
    <t>Produsul Latte (1 produs)</t>
  </si>
  <si>
    <t>null</t>
  </si>
  <si>
    <t>Statistics</t>
  </si>
  <si>
    <t>Testare</t>
  </si>
  <si>
    <t>Depanare</t>
  </si>
  <si>
    <t>Re-testare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</si>
  <si>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</si>
  <si>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</si>
  <si>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</si>
  <si>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</si>
  <si>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</si>
  <si>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#Bugs </t>
    </r>
    <r>
      <rPr>
        <rFont val="Calibri"/>
        <b/>
        <i/>
        <color theme="1"/>
        <sz val="8.0"/>
      </rPr>
      <t>[se va indica numarul de bug-uri identificate prin depanare, la nivelul metodei testate]</t>
    </r>
  </si>
  <si>
    <r>
      <rPr>
        <rFont val="Calibri"/>
        <b/>
        <color theme="1"/>
        <sz val="11.0"/>
      </rPr>
      <t xml:space="preserve">#Bugs Fixed </t>
    </r>
    <r>
      <rPr>
        <rFont val="Calibri"/>
        <b/>
        <i/>
        <color theme="1"/>
        <sz val="8.0"/>
      </rPr>
      <t>[se va completa cu 'da' dupa depanare]</t>
    </r>
  </si>
  <si>
    <r>
      <rPr>
        <rFont val="Calibri"/>
        <b/>
        <color theme="1"/>
        <sz val="11.0"/>
      </rPr>
      <t xml:space="preserve">Re-testare </t>
    </r>
    <r>
      <rPr>
        <rFont val="Calibri"/>
        <i/>
        <color theme="1"/>
        <sz val="8.0"/>
      </rPr>
      <t>[se va completa cu 'da' dupa retestare]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</si>
  <si>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</si>
  <si>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</si>
  <si>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</si>
  <si>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rgb="FF000000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</si>
  <si>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</si>
  <si>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nu</t>
  </si>
  <si>
    <t>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</si>
</sst>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5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sz val="9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color theme="1"/>
      <name val="Calibri"/>
      <scheme val="minor"/>
    </font>
    <font>
      <sz val="11.0"/>
      <color rgb="FFFF0000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2" fontId="8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9" numFmtId="0" xfId="0" applyFon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0" fontId="6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center" readingOrder="0"/>
    </xf>
    <xf borderId="13" fillId="0" fontId="3" numFmtId="0" xfId="0" applyBorder="1" applyFont="1"/>
    <xf borderId="4" fillId="0" fontId="3" numFmtId="0" xfId="0" applyBorder="1" applyFont="1"/>
    <xf borderId="14" fillId="0" fontId="3" numFmtId="0" xfId="0" applyBorder="1" applyFont="1"/>
    <xf borderId="0" fillId="0" fontId="6" numFmtId="0" xfId="0" applyAlignment="1" applyFont="1">
      <alignment vertical="center"/>
    </xf>
    <xf borderId="15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5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5" fillId="0" fontId="10" numFmtId="0" xfId="0" applyAlignment="1" applyBorder="1" applyFont="1">
      <alignment horizontal="left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5" fillId="6" fontId="10" numFmtId="0" xfId="0" applyAlignment="1" applyBorder="1" applyFont="1">
      <alignment horizontal="center" shrinkToFit="0" vertical="center" wrapText="1"/>
    </xf>
    <xf borderId="15" fillId="6" fontId="10" numFmtId="0" xfId="0" applyAlignment="1" applyBorder="1" applyFont="1">
      <alignment horizontal="center" readingOrder="0" shrinkToFit="0" vertical="center" wrapText="1"/>
    </xf>
    <xf borderId="15" fillId="7" fontId="10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left" readingOrder="0" shrinkToFit="0" vertical="center" wrapText="1"/>
    </xf>
    <xf borderId="5" fillId="4" fontId="11" numFmtId="0" xfId="0" applyAlignment="1" applyBorder="1" applyFont="1">
      <alignment readingOrder="0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6" fontId="11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ont="1">
      <alignment horizontal="center" shrinkToFit="0" vertical="center" wrapText="1"/>
    </xf>
    <xf borderId="5" fillId="7" fontId="11" numFmtId="0" xfId="0" applyAlignment="1" applyBorder="1" applyFont="1">
      <alignment shrinkToFit="0" vertical="center" wrapText="1"/>
    </xf>
    <xf borderId="5" fillId="7" fontId="11" numFmtId="0" xfId="0" applyAlignment="1" applyBorder="1" applyFont="1">
      <alignment readingOrder="0" shrinkToFit="0" vertical="center" wrapText="1"/>
    </xf>
    <xf borderId="5" fillId="4" fontId="11" numFmtId="164" xfId="0" applyAlignment="1" applyBorder="1" applyFont="1" applyNumberFormat="1">
      <alignment readingOrder="0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1" fillId="8" fontId="2" numFmtId="0" xfId="0" applyAlignment="1" applyBorder="1" applyFill="1" applyFont="1">
      <alignment horizontal="center"/>
    </xf>
    <xf borderId="15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12" numFmtId="0" xfId="0" applyAlignment="1" applyFont="1">
      <alignment readingOrder="0"/>
    </xf>
    <xf borderId="23" fillId="0" fontId="2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26" fillId="9" fontId="2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7" fillId="0" fontId="3" numFmtId="0" xfId="0" applyBorder="1" applyFont="1"/>
    <xf borderId="5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3" numFmtId="0" xfId="0" applyFont="1"/>
    <xf borderId="28" fillId="8" fontId="2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2" fontId="2" numFmtId="0" xfId="0" applyAlignment="1" applyBorder="1" applyFont="1">
      <alignment horizontal="center" vertical="center"/>
    </xf>
    <xf borderId="32" fillId="0" fontId="3" numFmtId="0" xfId="0" applyBorder="1" applyFont="1"/>
    <xf borderId="33" fillId="0" fontId="3" numFmtId="0" xfId="0" applyBorder="1" applyFont="1"/>
    <xf borderId="34" fillId="10" fontId="2" numFmtId="0" xfId="0" applyAlignment="1" applyBorder="1" applyFill="1" applyFont="1">
      <alignment horizontal="center" vertical="center"/>
    </xf>
    <xf borderId="3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36" fillId="11" fontId="2" numFmtId="0" xfId="0" applyAlignment="1" applyBorder="1" applyFill="1" applyFont="1">
      <alignment horizontal="center" shrinkToFit="0" vertical="center" wrapText="1"/>
    </xf>
    <xf borderId="27" fillId="0" fontId="2" numFmtId="0" xfId="0" applyAlignment="1" applyBorder="1" applyFont="1">
      <alignment horizontal="center" readingOrder="0" shrinkToFit="0" vertical="center" wrapText="1"/>
    </xf>
    <xf borderId="37" fillId="0" fontId="2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38" fillId="11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5" fillId="12" fontId="6" numFmtId="0" xfId="0" applyAlignment="1" applyBorder="1" applyFill="1" applyFont="1">
      <alignment readingOrder="0"/>
    </xf>
    <xf borderId="5" fillId="12" fontId="6" numFmtId="0" xfId="0" applyBorder="1" applyFont="1"/>
    <xf borderId="5" fillId="11" fontId="6" numFmtId="9" xfId="0" applyAlignment="1" applyBorder="1" applyFont="1" applyNumberFormat="1">
      <alignment readingOrder="0"/>
    </xf>
    <xf borderId="42" fillId="12" fontId="6" numFmtId="0" xfId="0" applyAlignment="1" applyBorder="1" applyFont="1">
      <alignment readingOrder="0"/>
    </xf>
    <xf borderId="43" fillId="12" fontId="14" numFmtId="0" xfId="0" applyBorder="1" applyFont="1"/>
    <xf borderId="44" fillId="12" fontId="14" numFmtId="0" xfId="0" applyAlignment="1" applyBorder="1" applyFont="1">
      <alignment readingOrder="0"/>
    </xf>
    <xf borderId="45" fillId="12" fontId="6" numFmtId="0" xfId="0" applyBorder="1" applyFont="1"/>
    <xf borderId="42" fillId="11" fontId="6" numFmtId="9" xfId="0" applyAlignment="1" applyBorder="1" applyFont="1" applyNumberFormat="1">
      <alignment readingOrder="0"/>
    </xf>
    <xf borderId="44" fillId="12" fontId="14" numFmtId="0" xfId="0" applyAlignment="1" applyBorder="1" applyFont="1">
      <alignment horizontal="center" readingOrder="0"/>
    </xf>
    <xf borderId="46" fillId="1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6</xdr:row>
      <xdr:rowOff>114300</xdr:rowOff>
    </xdr:from>
    <xdr:ext cx="4067175" cy="2352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6</xdr:row>
      <xdr:rowOff>114300</xdr:rowOff>
    </xdr:from>
    <xdr:ext cx="4029075" cy="2828925"/>
    <xdr:pic>
      <xdr:nvPicPr>
        <xdr:cNvPr id="0" name="image3.png" title="I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9</xdr:row>
      <xdr:rowOff>-171450</xdr:rowOff>
    </xdr:from>
    <xdr:ext cx="4733925" cy="5000625"/>
    <xdr:pic>
      <xdr:nvPicPr>
        <xdr:cNvPr id="0" name="image2.png" title="I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10" t="s">
        <v>10</v>
      </c>
      <c r="P7" s="10">
        <v>232.0</v>
      </c>
    </row>
    <row r="8" ht="14.25" customHeight="1">
      <c r="B8" s="6"/>
      <c r="C8" s="6"/>
      <c r="D8" s="6"/>
      <c r="E8" s="6"/>
      <c r="N8" s="9" t="s">
        <v>11</v>
      </c>
      <c r="O8" s="11" t="s">
        <v>12</v>
      </c>
      <c r="P8" s="10">
        <v>232.0</v>
      </c>
    </row>
    <row r="9" ht="14.25" customHeight="1">
      <c r="B9" s="12" t="s">
        <v>13</v>
      </c>
      <c r="C9" s="6"/>
      <c r="D9" s="6"/>
      <c r="E9" s="6"/>
      <c r="N9" s="9" t="s">
        <v>14</v>
      </c>
      <c r="O9" s="9"/>
      <c r="P9" s="9"/>
    </row>
    <row r="10" ht="14.25" customHeight="1">
      <c r="B10" s="12" t="s">
        <v>15</v>
      </c>
      <c r="C10" s="6"/>
      <c r="D10" s="6"/>
      <c r="E10" s="6"/>
    </row>
    <row r="11" ht="14.25" customHeight="1">
      <c r="B11" s="13" t="s">
        <v>16</v>
      </c>
      <c r="C11" s="6"/>
      <c r="D11" s="6"/>
      <c r="E11" s="6"/>
    </row>
    <row r="12" ht="14.25" customHeight="1">
      <c r="C12" s="6"/>
      <c r="D12" s="6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16" width="8.86"/>
    <col customWidth="1" min="17" max="17" width="10.57"/>
    <col customWidth="1" min="18" max="19" width="8.86"/>
    <col customWidth="1" min="20" max="20" width="36.71"/>
    <col customWidth="1" min="21" max="25" width="8.86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4" t="s">
        <v>17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18</v>
      </c>
      <c r="C6" s="3"/>
      <c r="D6" s="3"/>
      <c r="E6" s="4"/>
      <c r="F6" s="15"/>
      <c r="G6" s="15"/>
      <c r="I6" s="2" t="s">
        <v>19</v>
      </c>
      <c r="J6" s="3"/>
      <c r="K6" s="3"/>
      <c r="L6" s="3"/>
      <c r="M6" s="3"/>
      <c r="N6" s="3"/>
      <c r="O6" s="16"/>
      <c r="Q6" s="2" t="s">
        <v>20</v>
      </c>
      <c r="R6" s="3"/>
      <c r="S6" s="3"/>
      <c r="T6" s="16"/>
    </row>
    <row r="7" ht="14.25" customHeight="1"/>
    <row r="8" ht="14.25" customHeight="1">
      <c r="B8" s="17" t="s">
        <v>21</v>
      </c>
      <c r="C8" s="18" t="s">
        <v>22</v>
      </c>
      <c r="D8" s="3"/>
      <c r="E8" s="4"/>
      <c r="F8" s="19"/>
      <c r="G8" s="19"/>
      <c r="I8" s="1" t="s">
        <v>23</v>
      </c>
      <c r="Q8" s="20" t="s">
        <v>24</v>
      </c>
      <c r="R8" s="3"/>
      <c r="S8" s="4"/>
      <c r="T8" s="21">
        <v>5.0</v>
      </c>
    </row>
    <row r="9" ht="14.25" customHeight="1">
      <c r="B9" s="8" t="s">
        <v>25</v>
      </c>
      <c r="C9" s="22" t="s">
        <v>26</v>
      </c>
      <c r="D9" s="3"/>
      <c r="E9" s="4"/>
      <c r="F9" s="23"/>
      <c r="G9" s="23"/>
      <c r="I9" s="24"/>
      <c r="Q9" s="20" t="s">
        <v>27</v>
      </c>
      <c r="R9" s="3"/>
      <c r="S9" s="4"/>
      <c r="T9" s="21">
        <v>5.0</v>
      </c>
    </row>
    <row r="10" ht="14.25" customHeight="1">
      <c r="B10" s="8" t="s">
        <v>28</v>
      </c>
      <c r="C10" s="22" t="s">
        <v>26</v>
      </c>
      <c r="D10" s="3"/>
      <c r="E10" s="4"/>
      <c r="F10" s="23"/>
      <c r="G10" s="23"/>
      <c r="I10" s="25" t="s">
        <v>29</v>
      </c>
      <c r="J10" s="26"/>
      <c r="K10" s="26"/>
      <c r="L10" s="26"/>
      <c r="M10" s="26"/>
      <c r="N10" s="26"/>
      <c r="O10" s="27"/>
      <c r="Q10" s="20" t="s">
        <v>30</v>
      </c>
      <c r="R10" s="3"/>
      <c r="S10" s="4"/>
      <c r="T10" s="21">
        <v>5.0</v>
      </c>
    </row>
    <row r="11" ht="14.25" customHeight="1">
      <c r="B11" s="8" t="s">
        <v>31</v>
      </c>
      <c r="C11" s="22" t="s">
        <v>26</v>
      </c>
      <c r="D11" s="3"/>
      <c r="E11" s="4"/>
      <c r="F11" s="23"/>
      <c r="G11" s="23"/>
      <c r="I11" s="28"/>
      <c r="O11" s="29"/>
    </row>
    <row r="12" ht="14.25" customHeight="1">
      <c r="B12" s="8" t="s">
        <v>32</v>
      </c>
      <c r="C12" s="22" t="s">
        <v>26</v>
      </c>
      <c r="D12" s="3"/>
      <c r="E12" s="4"/>
      <c r="F12" s="23"/>
      <c r="G12" s="23"/>
      <c r="I12" s="28"/>
      <c r="O12" s="29"/>
    </row>
    <row r="13" ht="14.25" customHeight="1">
      <c r="B13" s="8" t="s">
        <v>33</v>
      </c>
      <c r="C13" s="22" t="s">
        <v>26</v>
      </c>
      <c r="D13" s="3"/>
      <c r="E13" s="4"/>
      <c r="F13" s="23"/>
      <c r="G13" s="23"/>
      <c r="I13" s="28"/>
      <c r="O13" s="29"/>
      <c r="Q13" s="2" t="s">
        <v>34</v>
      </c>
      <c r="R13" s="3"/>
      <c r="S13" s="3"/>
      <c r="T13" s="16"/>
    </row>
    <row r="14" ht="14.25" customHeight="1">
      <c r="B14" s="8" t="s">
        <v>32</v>
      </c>
      <c r="C14" s="22" t="s">
        <v>26</v>
      </c>
      <c r="D14" s="3"/>
      <c r="E14" s="4"/>
      <c r="F14" s="23"/>
      <c r="G14" s="23"/>
      <c r="I14" s="28"/>
      <c r="O14" s="29"/>
    </row>
    <row r="15" ht="14.25" customHeight="1">
      <c r="I15" s="28"/>
      <c r="O15" s="29"/>
      <c r="Q15" s="17" t="s">
        <v>35</v>
      </c>
      <c r="R15" s="18" t="s">
        <v>36</v>
      </c>
      <c r="S15" s="3"/>
      <c r="T15" s="4"/>
    </row>
    <row r="16" ht="14.25" customHeight="1">
      <c r="I16" s="28"/>
      <c r="O16" s="29"/>
      <c r="Q16" s="8" t="s">
        <v>37</v>
      </c>
      <c r="R16" s="30" t="s">
        <v>38</v>
      </c>
      <c r="S16" s="3"/>
      <c r="T16" s="4"/>
    </row>
    <row r="17" ht="14.25" customHeight="1">
      <c r="I17" s="28"/>
      <c r="O17" s="29"/>
      <c r="Q17" s="8" t="s">
        <v>39</v>
      </c>
      <c r="R17" s="30" t="s">
        <v>40</v>
      </c>
      <c r="S17" s="3"/>
      <c r="T17" s="4"/>
    </row>
    <row r="18" ht="14.25" customHeight="1">
      <c r="I18" s="28"/>
      <c r="O18" s="29"/>
      <c r="Q18" s="8" t="s">
        <v>41</v>
      </c>
      <c r="R18" s="30" t="s">
        <v>42</v>
      </c>
      <c r="S18" s="3"/>
      <c r="T18" s="4"/>
    </row>
    <row r="19" ht="14.25" customHeight="1">
      <c r="I19" s="28"/>
      <c r="O19" s="29"/>
      <c r="Q19" s="31" t="s">
        <v>43</v>
      </c>
      <c r="R19" s="30" t="s">
        <v>44</v>
      </c>
      <c r="S19" s="3"/>
      <c r="T19" s="4"/>
    </row>
    <row r="20" ht="14.25" customHeight="1">
      <c r="I20" s="28"/>
      <c r="O20" s="29"/>
      <c r="Q20" s="31" t="s">
        <v>45</v>
      </c>
      <c r="R20" s="30" t="s">
        <v>46</v>
      </c>
      <c r="S20" s="3"/>
      <c r="T20" s="4"/>
    </row>
    <row r="21" ht="14.25" customHeight="1">
      <c r="I21" s="28"/>
      <c r="O21" s="29"/>
    </row>
    <row r="22" ht="14.25" customHeight="1">
      <c r="I22" s="28"/>
      <c r="O22" s="29"/>
    </row>
    <row r="23" ht="14.25" customHeight="1">
      <c r="I23" s="32"/>
      <c r="J23" s="33"/>
      <c r="K23" s="33"/>
      <c r="L23" s="33"/>
      <c r="M23" s="33"/>
      <c r="N23" s="33"/>
      <c r="O23" s="34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3">
    <mergeCell ref="C10:E10"/>
    <mergeCell ref="C11:E11"/>
    <mergeCell ref="C12:E12"/>
    <mergeCell ref="C13:E13"/>
    <mergeCell ref="C14:E14"/>
    <mergeCell ref="D1:I1"/>
    <mergeCell ref="B3:K3"/>
    <mergeCell ref="B6:E6"/>
    <mergeCell ref="I6:O6"/>
    <mergeCell ref="Q6:T6"/>
    <mergeCell ref="C8:E8"/>
    <mergeCell ref="C9:E9"/>
    <mergeCell ref="R17:T17"/>
    <mergeCell ref="R18:T18"/>
    <mergeCell ref="R19:T19"/>
    <mergeCell ref="R20:T20"/>
    <mergeCell ref="Q8:S8"/>
    <mergeCell ref="Q9:S9"/>
    <mergeCell ref="I10:O23"/>
    <mergeCell ref="Q10:S10"/>
    <mergeCell ref="Q13:T13"/>
    <mergeCell ref="R15:T15"/>
    <mergeCell ref="R16:T1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8.14"/>
    <col customWidth="1" min="5" max="5" width="19.86"/>
    <col customWidth="1" min="6" max="6" width="8.14"/>
    <col customWidth="1" min="7" max="7" width="8.43"/>
    <col customWidth="1" min="8" max="8" width="8.71"/>
    <col customWidth="1" min="9" max="9" width="13.29"/>
    <col customWidth="1" min="10" max="10" width="12.14"/>
    <col customWidth="1" min="11" max="11" width="6.14"/>
    <col customWidth="1" min="12" max="16" width="8.86"/>
    <col customWidth="1" min="17" max="17" width="5.57"/>
    <col customWidth="1" min="18" max="18" width="6.71"/>
    <col customWidth="1" min="19" max="19" width="7.14"/>
    <col customWidth="1" min="20" max="20" width="6.71"/>
    <col customWidth="1" min="21" max="21" width="7.71"/>
    <col customWidth="1" min="22" max="22" width="12.29"/>
    <col customWidth="1" min="23" max="23" width="17.57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14" t="s">
        <v>47</v>
      </c>
      <c r="C3" s="3"/>
      <c r="D3" s="3"/>
      <c r="E3" s="3"/>
      <c r="F3" s="4"/>
    </row>
    <row r="4" ht="14.25" customHeight="1"/>
    <row r="5" ht="14.25" customHeight="1">
      <c r="B5" s="35"/>
    </row>
    <row r="6" ht="14.25" customHeight="1">
      <c r="B6" s="36" t="s">
        <v>48</v>
      </c>
      <c r="C6" s="36" t="s">
        <v>49</v>
      </c>
      <c r="D6" s="36" t="s">
        <v>50</v>
      </c>
      <c r="E6" s="37" t="s">
        <v>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ht="14.25" customHeight="1">
      <c r="B7" s="38"/>
      <c r="C7" s="39"/>
      <c r="D7" s="39"/>
      <c r="E7" s="40" t="s">
        <v>52</v>
      </c>
      <c r="F7" s="41" t="s">
        <v>53</v>
      </c>
      <c r="G7" s="3"/>
      <c r="H7" s="3"/>
      <c r="I7" s="3"/>
      <c r="J7" s="3"/>
      <c r="K7" s="4"/>
      <c r="L7" s="42" t="s">
        <v>54</v>
      </c>
      <c r="M7" s="3"/>
      <c r="N7" s="3"/>
      <c r="O7" s="3"/>
      <c r="P7" s="4"/>
      <c r="Q7" s="43" t="s">
        <v>55</v>
      </c>
      <c r="R7" s="3"/>
      <c r="S7" s="3"/>
      <c r="T7" s="3"/>
      <c r="U7" s="3"/>
      <c r="V7" s="3"/>
      <c r="W7" s="4"/>
    </row>
    <row r="8" ht="15.0" customHeight="1">
      <c r="B8" s="38"/>
      <c r="C8" s="44" t="s">
        <v>56</v>
      </c>
      <c r="D8" s="44" t="s">
        <v>57</v>
      </c>
      <c r="E8" s="38"/>
      <c r="F8" s="45" t="s">
        <v>58</v>
      </c>
      <c r="G8" s="4"/>
      <c r="H8" s="45" t="s">
        <v>59</v>
      </c>
      <c r="I8" s="4"/>
      <c r="J8" s="45" t="s">
        <v>60</v>
      </c>
      <c r="K8" s="4"/>
      <c r="L8" s="46" t="s">
        <v>37</v>
      </c>
      <c r="M8" s="47" t="s">
        <v>61</v>
      </c>
      <c r="N8" s="47" t="s">
        <v>41</v>
      </c>
      <c r="O8" s="47" t="s">
        <v>43</v>
      </c>
      <c r="P8" s="47" t="s">
        <v>45</v>
      </c>
      <c r="Q8" s="48">
        <v>0.0</v>
      </c>
      <c r="R8" s="48">
        <v>1.0</v>
      </c>
      <c r="S8" s="48">
        <v>2.0</v>
      </c>
      <c r="T8" s="48" t="s">
        <v>62</v>
      </c>
      <c r="U8" s="48" t="s">
        <v>63</v>
      </c>
      <c r="V8" s="48" t="s">
        <v>64</v>
      </c>
      <c r="W8" s="48" t="s">
        <v>65</v>
      </c>
    </row>
    <row r="9" ht="31.5" customHeight="1">
      <c r="B9" s="39"/>
      <c r="C9" s="39"/>
      <c r="D9" s="39"/>
      <c r="E9" s="39"/>
      <c r="F9" s="49" t="s">
        <v>66</v>
      </c>
      <c r="G9" s="49" t="s">
        <v>67</v>
      </c>
      <c r="H9" s="49" t="s">
        <v>66</v>
      </c>
      <c r="I9" s="49" t="s">
        <v>67</v>
      </c>
      <c r="J9" s="49" t="s">
        <v>66</v>
      </c>
      <c r="K9" s="49" t="s">
        <v>67</v>
      </c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ht="14.25" customHeight="1">
      <c r="B10" s="50" t="s">
        <v>68</v>
      </c>
      <c r="C10" s="51" t="s">
        <v>69</v>
      </c>
      <c r="D10" s="52" t="s">
        <v>70</v>
      </c>
      <c r="E10" s="53" t="s">
        <v>71</v>
      </c>
      <c r="F10" s="54" t="s">
        <v>72</v>
      </c>
      <c r="G10" s="55"/>
      <c r="H10" s="55"/>
      <c r="I10" s="55"/>
      <c r="J10" s="55"/>
      <c r="K10" s="55"/>
      <c r="L10" s="56" t="s">
        <v>72</v>
      </c>
      <c r="M10" s="57"/>
      <c r="N10" s="57"/>
      <c r="O10" s="57"/>
      <c r="P10" s="57"/>
      <c r="Q10" s="58"/>
      <c r="R10" s="59"/>
      <c r="S10" s="58"/>
      <c r="T10" s="58"/>
      <c r="U10" s="58"/>
      <c r="V10" s="58"/>
      <c r="W10" s="58"/>
    </row>
    <row r="11" ht="14.25" customHeight="1">
      <c r="B11" s="51" t="s">
        <v>73</v>
      </c>
      <c r="C11" s="51" t="s">
        <v>74</v>
      </c>
      <c r="D11" s="52" t="s">
        <v>75</v>
      </c>
      <c r="E11" s="53" t="s">
        <v>76</v>
      </c>
      <c r="F11" s="55"/>
      <c r="G11" s="54" t="s">
        <v>72</v>
      </c>
      <c r="H11" s="55"/>
      <c r="I11" s="55"/>
      <c r="J11" s="55"/>
      <c r="K11" s="55"/>
      <c r="L11" s="57"/>
      <c r="M11" s="56" t="s">
        <v>72</v>
      </c>
      <c r="N11" s="57"/>
      <c r="O11" s="57"/>
      <c r="P11" s="57"/>
      <c r="Q11" s="59" t="s">
        <v>72</v>
      </c>
      <c r="R11" s="58"/>
      <c r="S11" s="58"/>
      <c r="T11" s="58"/>
      <c r="U11" s="58"/>
      <c r="V11" s="58"/>
      <c r="W11" s="58"/>
    </row>
    <row r="12" ht="14.25" customHeight="1">
      <c r="B12" s="51" t="s">
        <v>77</v>
      </c>
      <c r="C12" s="51" t="s">
        <v>78</v>
      </c>
      <c r="D12" s="52" t="s">
        <v>75</v>
      </c>
      <c r="E12" s="53" t="s">
        <v>79</v>
      </c>
      <c r="F12" s="55"/>
      <c r="G12" s="54" t="s">
        <v>72</v>
      </c>
      <c r="H12" s="54"/>
      <c r="I12" s="54" t="s">
        <v>72</v>
      </c>
      <c r="J12" s="55"/>
      <c r="K12" s="55"/>
      <c r="L12" s="57"/>
      <c r="M12" s="57"/>
      <c r="N12" s="56" t="s">
        <v>72</v>
      </c>
      <c r="O12" s="57"/>
      <c r="P12" s="57"/>
      <c r="Q12" s="58"/>
      <c r="R12" s="59" t="s">
        <v>72</v>
      </c>
      <c r="S12" s="58"/>
      <c r="T12" s="58"/>
      <c r="U12" s="58"/>
      <c r="V12" s="58"/>
      <c r="W12" s="58"/>
    </row>
    <row r="13" ht="14.25" customHeight="1">
      <c r="B13" s="51" t="s">
        <v>80</v>
      </c>
      <c r="C13" s="51" t="s">
        <v>81</v>
      </c>
      <c r="D13" s="52" t="s">
        <v>75</v>
      </c>
      <c r="E13" s="53" t="s">
        <v>82</v>
      </c>
      <c r="F13" s="55"/>
      <c r="G13" s="54" t="s">
        <v>72</v>
      </c>
      <c r="H13" s="54" t="s">
        <v>72</v>
      </c>
      <c r="I13" s="55"/>
      <c r="J13" s="55"/>
      <c r="K13" s="54" t="s">
        <v>72</v>
      </c>
      <c r="L13" s="57"/>
      <c r="M13" s="57"/>
      <c r="N13" s="57"/>
      <c r="O13" s="56" t="s">
        <v>72</v>
      </c>
      <c r="P13" s="57"/>
      <c r="Q13" s="58"/>
      <c r="R13" s="59" t="s">
        <v>72</v>
      </c>
      <c r="S13" s="58"/>
      <c r="T13" s="58"/>
      <c r="U13" s="58"/>
      <c r="V13" s="58"/>
      <c r="W13" s="58"/>
    </row>
    <row r="14" ht="14.25" customHeight="1">
      <c r="B14" s="51" t="s">
        <v>83</v>
      </c>
      <c r="C14" s="51" t="s">
        <v>84</v>
      </c>
      <c r="D14" s="52" t="s">
        <v>70</v>
      </c>
      <c r="E14" s="53" t="s">
        <v>85</v>
      </c>
      <c r="F14" s="55"/>
      <c r="G14" s="54" t="s">
        <v>72</v>
      </c>
      <c r="H14" s="54" t="s">
        <v>72</v>
      </c>
      <c r="I14" s="55"/>
      <c r="J14" s="54" t="s">
        <v>72</v>
      </c>
      <c r="K14" s="55"/>
      <c r="L14" s="57"/>
      <c r="M14" s="57"/>
      <c r="N14" s="57"/>
      <c r="O14" s="57"/>
      <c r="P14" s="56" t="s">
        <v>72</v>
      </c>
      <c r="Q14" s="58"/>
      <c r="R14" s="59" t="s">
        <v>72</v>
      </c>
      <c r="S14" s="58"/>
      <c r="T14" s="58"/>
      <c r="U14" s="58"/>
      <c r="V14" s="58"/>
      <c r="W14" s="58"/>
    </row>
    <row r="15" ht="14.25" customHeight="1">
      <c r="B15" s="51" t="s">
        <v>86</v>
      </c>
      <c r="C15" s="51" t="s">
        <v>87</v>
      </c>
      <c r="D15" s="52" t="s">
        <v>88</v>
      </c>
      <c r="E15" s="53" t="s">
        <v>89</v>
      </c>
      <c r="F15" s="55"/>
      <c r="G15" s="54" t="s">
        <v>72</v>
      </c>
      <c r="H15" s="54" t="s">
        <v>72</v>
      </c>
      <c r="I15" s="55"/>
      <c r="J15" s="54" t="s">
        <v>72</v>
      </c>
      <c r="K15" s="54" t="s">
        <v>72</v>
      </c>
      <c r="L15" s="57"/>
      <c r="M15" s="57"/>
      <c r="N15" s="57"/>
      <c r="O15" s="56" t="s">
        <v>72</v>
      </c>
      <c r="P15" s="56" t="s">
        <v>72</v>
      </c>
      <c r="Q15" s="58"/>
      <c r="R15" s="58"/>
      <c r="S15" s="59" t="s">
        <v>72</v>
      </c>
      <c r="T15" s="58"/>
      <c r="U15" s="58"/>
      <c r="V15" s="58"/>
      <c r="W15" s="58"/>
    </row>
    <row r="16" ht="14.25" customHeight="1">
      <c r="B16" s="51" t="s">
        <v>90</v>
      </c>
      <c r="C16" s="51" t="s">
        <v>91</v>
      </c>
      <c r="D16" s="52" t="s">
        <v>92</v>
      </c>
      <c r="E16" s="53" t="s">
        <v>93</v>
      </c>
      <c r="F16" s="55"/>
      <c r="G16" s="54" t="s">
        <v>72</v>
      </c>
      <c r="H16" s="54" t="s">
        <v>72</v>
      </c>
      <c r="I16" s="54" t="s">
        <v>72</v>
      </c>
      <c r="J16" s="54" t="s">
        <v>72</v>
      </c>
      <c r="K16" s="55"/>
      <c r="L16" s="57"/>
      <c r="M16" s="57"/>
      <c r="N16" s="56" t="s">
        <v>72</v>
      </c>
      <c r="O16" s="56"/>
      <c r="P16" s="56" t="s">
        <v>72</v>
      </c>
      <c r="Q16" s="58"/>
      <c r="R16" s="58"/>
      <c r="S16" s="58"/>
      <c r="T16" s="58"/>
      <c r="U16" s="58"/>
      <c r="V16" s="58"/>
      <c r="W16" s="59" t="s">
        <v>72</v>
      </c>
    </row>
    <row r="17" ht="14.25" customHeight="1">
      <c r="B17" s="51" t="s">
        <v>94</v>
      </c>
      <c r="C17" s="51" t="s">
        <v>95</v>
      </c>
      <c r="D17" s="52" t="s">
        <v>96</v>
      </c>
      <c r="E17" s="60">
        <v>46024.0</v>
      </c>
      <c r="F17" s="55"/>
      <c r="G17" s="55"/>
      <c r="H17" s="55"/>
      <c r="I17" s="55"/>
      <c r="J17" s="55"/>
      <c r="K17" s="55"/>
      <c r="L17" s="61" t="s">
        <v>96</v>
      </c>
      <c r="M17" s="3"/>
      <c r="N17" s="3"/>
      <c r="O17" s="3"/>
      <c r="P17" s="4"/>
      <c r="Q17" s="58"/>
      <c r="R17" s="58"/>
      <c r="S17" s="58"/>
      <c r="T17" s="58"/>
      <c r="U17" s="58"/>
      <c r="V17" s="58"/>
      <c r="W17" s="58"/>
    </row>
    <row r="18" ht="14.25" customHeight="1">
      <c r="B18" s="62" t="s">
        <v>97</v>
      </c>
    </row>
    <row r="19" ht="14.25" customHeight="1">
      <c r="B19" s="12" t="s">
        <v>98</v>
      </c>
    </row>
    <row r="20" ht="14.25" customHeight="1">
      <c r="B20" s="12" t="s">
        <v>99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8">
    <mergeCell ref="Q8:Q9"/>
    <mergeCell ref="R8:R9"/>
    <mergeCell ref="S8:S9"/>
    <mergeCell ref="T8:T9"/>
    <mergeCell ref="U8:U9"/>
    <mergeCell ref="V8:V9"/>
    <mergeCell ref="E7:E9"/>
    <mergeCell ref="J8:K8"/>
    <mergeCell ref="H8:I8"/>
    <mergeCell ref="F8:G8"/>
    <mergeCell ref="F7:K7"/>
    <mergeCell ref="D1:G1"/>
    <mergeCell ref="B3:F3"/>
    <mergeCell ref="B6:B9"/>
    <mergeCell ref="D6:D7"/>
    <mergeCell ref="Q7:W7"/>
    <mergeCell ref="W8:W9"/>
    <mergeCell ref="E6:W6"/>
    <mergeCell ref="L7:P7"/>
    <mergeCell ref="C6:C7"/>
    <mergeCell ref="C8:C9"/>
    <mergeCell ref="L8:L9"/>
    <mergeCell ref="M8:M9"/>
    <mergeCell ref="N8:N9"/>
    <mergeCell ref="O8:O9"/>
    <mergeCell ref="L17:P17"/>
    <mergeCell ref="D8:D9"/>
    <mergeCell ref="P8:P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22.29"/>
    <col customWidth="1" min="5" max="5" width="49.14"/>
    <col customWidth="1" min="6" max="6" width="16.14"/>
    <col customWidth="1" min="7" max="7" width="10.86"/>
    <col customWidth="1" min="8" max="8" width="10.0"/>
    <col customWidth="1" min="9" max="9" width="8.86"/>
    <col customWidth="1" min="10" max="10" width="7.14"/>
    <col customWidth="1" min="11" max="11" width="23.29"/>
    <col customWidth="1" min="12" max="12" width="24.71"/>
    <col customWidth="1" min="13" max="13" width="16.14"/>
    <col customWidth="1" min="14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63" t="s">
        <v>100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 ht="14.25" customHeight="1">
      <c r="B4" s="64" t="s">
        <v>101</v>
      </c>
      <c r="C4" s="65" t="s">
        <v>102</v>
      </c>
      <c r="D4" s="66" t="s">
        <v>103</v>
      </c>
      <c r="E4" s="67" t="s">
        <v>104</v>
      </c>
      <c r="F4" s="3"/>
      <c r="G4" s="3"/>
      <c r="H4" s="3"/>
      <c r="I4" s="3"/>
      <c r="J4" s="4"/>
      <c r="K4" s="67" t="s">
        <v>105</v>
      </c>
      <c r="L4" s="4"/>
    </row>
    <row r="5" ht="14.25" customHeight="1">
      <c r="B5" s="68"/>
      <c r="C5" s="69"/>
      <c r="D5" s="70"/>
      <c r="E5" s="71" t="s">
        <v>106</v>
      </c>
      <c r="F5" s="72" t="s">
        <v>107</v>
      </c>
      <c r="G5" s="73"/>
      <c r="H5" s="73"/>
      <c r="I5" s="74"/>
      <c r="J5" s="75"/>
      <c r="K5" s="73" t="s">
        <v>108</v>
      </c>
      <c r="L5" s="73" t="s">
        <v>109</v>
      </c>
    </row>
    <row r="6" ht="14.25" customHeight="1">
      <c r="B6" s="76">
        <v>1.0</v>
      </c>
      <c r="C6" s="77" t="s">
        <v>110</v>
      </c>
      <c r="D6" s="78" t="s">
        <v>68</v>
      </c>
      <c r="E6" s="79" t="s">
        <v>111</v>
      </c>
      <c r="F6" s="79" t="s">
        <v>112</v>
      </c>
      <c r="G6" s="80"/>
      <c r="H6" s="80"/>
      <c r="I6" s="81"/>
      <c r="J6" s="34"/>
      <c r="K6" s="79" t="s">
        <v>113</v>
      </c>
      <c r="L6" s="76" t="s">
        <v>114</v>
      </c>
    </row>
    <row r="7" ht="14.25" customHeight="1">
      <c r="B7" s="76">
        <v>2.0</v>
      </c>
      <c r="C7" s="82"/>
      <c r="D7" s="78" t="s">
        <v>73</v>
      </c>
      <c r="E7" s="76" t="s">
        <v>115</v>
      </c>
      <c r="F7" s="76" t="s">
        <v>116</v>
      </c>
      <c r="G7" s="83"/>
      <c r="H7" s="83"/>
      <c r="I7" s="67"/>
      <c r="J7" s="4"/>
      <c r="K7" s="76" t="s">
        <v>117</v>
      </c>
      <c r="L7" s="76" t="s">
        <v>114</v>
      </c>
    </row>
    <row r="8" ht="14.25" customHeight="1">
      <c r="B8" s="76">
        <v>3.0</v>
      </c>
      <c r="C8" s="82"/>
      <c r="D8" s="84" t="s">
        <v>77</v>
      </c>
      <c r="E8" s="76" t="s">
        <v>118</v>
      </c>
      <c r="F8" s="76" t="s">
        <v>116</v>
      </c>
      <c r="G8" s="83"/>
      <c r="H8" s="83"/>
      <c r="I8" s="67"/>
      <c r="J8" s="4"/>
      <c r="K8" s="76" t="s">
        <v>117</v>
      </c>
      <c r="L8" s="76" t="s">
        <v>114</v>
      </c>
    </row>
    <row r="9" ht="14.25" customHeight="1">
      <c r="B9" s="76">
        <v>4.0</v>
      </c>
      <c r="C9" s="82"/>
      <c r="D9" s="84" t="s">
        <v>80</v>
      </c>
      <c r="E9" s="76" t="s">
        <v>119</v>
      </c>
      <c r="F9" s="76" t="s">
        <v>116</v>
      </c>
      <c r="G9" s="83"/>
      <c r="H9" s="83"/>
      <c r="I9" s="67"/>
      <c r="J9" s="4"/>
      <c r="K9" s="76" t="s">
        <v>117</v>
      </c>
      <c r="L9" s="76" t="s">
        <v>114</v>
      </c>
    </row>
    <row r="10" ht="14.25" customHeight="1">
      <c r="B10" s="85">
        <v>5.0</v>
      </c>
      <c r="C10" s="82"/>
      <c r="D10" s="86" t="s">
        <v>83</v>
      </c>
      <c r="E10" s="85" t="s">
        <v>111</v>
      </c>
      <c r="F10" s="85" t="s">
        <v>116</v>
      </c>
      <c r="G10" s="87"/>
      <c r="H10" s="87"/>
      <c r="I10" s="87"/>
      <c r="J10" s="87"/>
      <c r="K10" s="85" t="s">
        <v>120</v>
      </c>
      <c r="L10" s="85" t="s">
        <v>114</v>
      </c>
    </row>
    <row r="11" ht="14.25" customHeight="1">
      <c r="B11" s="72">
        <v>5.0</v>
      </c>
      <c r="C11" s="69"/>
      <c r="D11" s="88" t="s">
        <v>86</v>
      </c>
      <c r="E11" s="72" t="s">
        <v>111</v>
      </c>
      <c r="F11" s="72" t="s">
        <v>121</v>
      </c>
      <c r="G11" s="73"/>
      <c r="H11" s="73"/>
      <c r="I11" s="74"/>
      <c r="J11" s="75"/>
      <c r="K11" s="72" t="s">
        <v>117</v>
      </c>
      <c r="L11" s="72" t="s">
        <v>114</v>
      </c>
    </row>
    <row r="12" ht="14.25" customHeight="1"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</row>
    <row r="13" ht="14.25" customHeight="1">
      <c r="B13" s="89" t="s">
        <v>122</v>
      </c>
      <c r="K13" s="90"/>
    </row>
    <row r="14" ht="14.25" customHeight="1">
      <c r="B14" s="91" t="s">
        <v>123</v>
      </c>
      <c r="C14" s="92"/>
      <c r="D14" s="92"/>
      <c r="E14" s="93"/>
      <c r="F14" s="94" t="s">
        <v>124</v>
      </c>
      <c r="G14" s="95"/>
      <c r="H14" s="91" t="s">
        <v>125</v>
      </c>
      <c r="I14" s="92"/>
      <c r="J14" s="92"/>
      <c r="K14" s="92"/>
      <c r="L14" s="96"/>
      <c r="M14" s="97" t="s">
        <v>126</v>
      </c>
      <c r="N14" s="95"/>
    </row>
    <row r="15" ht="36.75" customHeight="1">
      <c r="B15" s="98" t="s">
        <v>127</v>
      </c>
      <c r="C15" s="99" t="s">
        <v>128</v>
      </c>
      <c r="D15" s="99" t="s">
        <v>129</v>
      </c>
      <c r="E15" s="100" t="s">
        <v>130</v>
      </c>
      <c r="F15" s="101" t="s">
        <v>131</v>
      </c>
      <c r="G15" s="102" t="s">
        <v>132</v>
      </c>
      <c r="H15" s="103" t="s">
        <v>133</v>
      </c>
      <c r="I15" s="99" t="s">
        <v>127</v>
      </c>
      <c r="J15" s="99" t="s">
        <v>134</v>
      </c>
      <c r="K15" s="104" t="s">
        <v>135</v>
      </c>
      <c r="L15" s="105" t="s">
        <v>136</v>
      </c>
      <c r="M15" s="106" t="s">
        <v>137</v>
      </c>
      <c r="N15" s="65" t="s">
        <v>138</v>
      </c>
    </row>
    <row r="16" ht="14.25" customHeight="1">
      <c r="B16" s="107"/>
      <c r="C16" s="39"/>
      <c r="D16" s="39"/>
      <c r="E16" s="39"/>
      <c r="F16" s="108"/>
      <c r="G16" s="109"/>
      <c r="H16" s="107"/>
      <c r="I16" s="39"/>
      <c r="J16" s="39"/>
      <c r="K16" s="32"/>
      <c r="L16" s="108"/>
      <c r="M16" s="107"/>
      <c r="N16" s="108"/>
    </row>
    <row r="17" ht="14.25" customHeight="1">
      <c r="B17" s="9">
        <f>SUM(C17:D17)</f>
        <v>6</v>
      </c>
      <c r="C17" s="110">
        <v>6.0</v>
      </c>
      <c r="D17" s="111">
        <v>0.0</v>
      </c>
      <c r="E17" s="112">
        <v>1.0</v>
      </c>
      <c r="F17" s="113">
        <v>0.0</v>
      </c>
      <c r="G17" s="114" t="s">
        <v>139</v>
      </c>
      <c r="H17" s="115" t="s">
        <v>140</v>
      </c>
      <c r="I17" s="9">
        <f>SUM(J17:K17)</f>
        <v>6</v>
      </c>
      <c r="J17" s="110">
        <v>6.0</v>
      </c>
      <c r="K17" s="116">
        <v>0.0</v>
      </c>
      <c r="L17" s="117">
        <v>1.0</v>
      </c>
      <c r="M17" s="118" t="s">
        <v>140</v>
      </c>
      <c r="N17" s="119">
        <f>C17</f>
        <v>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1">
    <mergeCell ref="I6:J6"/>
    <mergeCell ref="I7:J7"/>
    <mergeCell ref="I8:J8"/>
    <mergeCell ref="I9:J9"/>
    <mergeCell ref="I11:J11"/>
    <mergeCell ref="H14:L14"/>
    <mergeCell ref="M14:N14"/>
    <mergeCell ref="D1:G1"/>
    <mergeCell ref="B3:L3"/>
    <mergeCell ref="B4:B5"/>
    <mergeCell ref="D4:D5"/>
    <mergeCell ref="E4:J4"/>
    <mergeCell ref="K4:L4"/>
    <mergeCell ref="I5:J5"/>
    <mergeCell ref="C4:C5"/>
    <mergeCell ref="C6:C11"/>
    <mergeCell ref="B14:E14"/>
    <mergeCell ref="F14:G14"/>
    <mergeCell ref="B15:B16"/>
    <mergeCell ref="C15:C16"/>
    <mergeCell ref="D15:D16"/>
    <mergeCell ref="G15:G16"/>
    <mergeCell ref="M15:M16"/>
    <mergeCell ref="N15:N16"/>
    <mergeCell ref="E15:E16"/>
    <mergeCell ref="F15:F16"/>
    <mergeCell ref="H15:H16"/>
    <mergeCell ref="I15:I16"/>
    <mergeCell ref="J15:J16"/>
    <mergeCell ref="K15:K16"/>
    <mergeCell ref="L15:L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